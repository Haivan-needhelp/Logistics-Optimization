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Y PC\Downloads\Data_optimisation\"/>
    </mc:Choice>
  </mc:AlternateContent>
  <xr:revisionPtr revIDLastSave="0" documentId="13_ncr:1_{6BC48832-B4A7-4986-890C-4E3ED2A344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P_ExampleStyle" sheetId="1" r:id="rId1"/>
  </sheets>
  <definedNames>
    <definedName name="solver_adj" localSheetId="0" hidden="1">LP_ExampleStyle!$B$2:$E$2</definedName>
    <definedName name="solver_cvg" localSheetId="0" hidden="1">"0,0001"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LP_ExampleStyle!$B$10</definedName>
    <definedName name="solver_lhs10" localSheetId="0" hidden="1">LP_ExampleStyle!$E$2</definedName>
    <definedName name="solver_lhs2" localSheetId="0" hidden="1">LP_ExampleStyle!$B$11</definedName>
    <definedName name="solver_lhs3" localSheetId="0" hidden="1">LP_ExampleStyle!$B$12</definedName>
    <definedName name="solver_lhs4" localSheetId="0" hidden="1">LP_ExampleStyle!$B$13</definedName>
    <definedName name="solver_lhs5" localSheetId="0" hidden="1">LP_ExampleStyle!$B$14</definedName>
    <definedName name="solver_lhs6" localSheetId="0" hidden="1">LP_ExampleStyle!$B$2</definedName>
    <definedName name="solver_lhs7" localSheetId="0" hidden="1">LP_ExampleStyle!$B$9</definedName>
    <definedName name="solver_lhs8" localSheetId="0" hidden="1">LP_ExampleStyle!$C$2</definedName>
    <definedName name="solver_lhs9" localSheetId="0" hidden="1">LP_ExampleStyle!$D$2</definedName>
    <definedName name="solver_mip" localSheetId="0" hidden="1">2147483647</definedName>
    <definedName name="solver_mni" localSheetId="0" hidden="1">30</definedName>
    <definedName name="solver_mrt" localSheetId="0" hidden="1">"0,075"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LP_ExampleStyle!$G$2</definedName>
    <definedName name="solver_pre" localSheetId="0" hidden="1">"0,000001"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3</definedName>
    <definedName name="solver_rhs1" localSheetId="0" hidden="1">LP_ExampleStyle!$D$10</definedName>
    <definedName name="solver_rhs10" localSheetId="0" hidden="1">0</definedName>
    <definedName name="solver_rhs2" localSheetId="0" hidden="1">LP_ExampleStyle!$D$11</definedName>
    <definedName name="solver_rhs3" localSheetId="0" hidden="1">LP_ExampleStyle!$D$12</definedName>
    <definedName name="solver_rhs4" localSheetId="0" hidden="1">LP_ExampleStyle!$D$13</definedName>
    <definedName name="solver_rhs5" localSheetId="0" hidden="1">LP_ExampleStyle!$D$14</definedName>
    <definedName name="solver_rhs6" localSheetId="0" hidden="1">0</definedName>
    <definedName name="solver_rhs7" localSheetId="0" hidden="1">LP_ExampleStyle!$D$9</definedName>
    <definedName name="solver_rhs8" localSheetId="0" hidden="1">0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G2" i="1" l="1"/>
  <c r="B10" i="1"/>
  <c r="B11" i="1"/>
  <c r="B9" i="1"/>
  <c r="B12" i="1"/>
  <c r="B14" i="1"/>
  <c r="B13" i="1"/>
</calcChain>
</file>

<file path=xl/sharedStrings.xml><?xml version="1.0" encoding="utf-8"?>
<sst xmlns="http://schemas.openxmlformats.org/spreadsheetml/2006/main" count="26" uniqueCount="21">
  <si>
    <t>Container LP Example</t>
  </si>
  <si>
    <t>Insulated Std (x1)</t>
  </si>
  <si>
    <t>Refrig Std (x2)</t>
  </si>
  <si>
    <t>Insulated Large (x3)</t>
  </si>
  <si>
    <t>Refrig Large (x4)</t>
  </si>
  <si>
    <t>Objective function (Total volume)</t>
  </si>
  <si>
    <t>Capacity (m³)</t>
  </si>
  <si>
    <t>Weight (kg)</t>
  </si>
  <si>
    <t>Cost (£/day)</t>
  </si>
  <si>
    <t>Constraints</t>
  </si>
  <si>
    <t>Left</t>
  </si>
  <si>
    <t>Sign</t>
  </si>
  <si>
    <t>Right</t>
  </si>
  <si>
    <t>Budget</t>
  </si>
  <si>
    <t>&lt;=</t>
  </si>
  <si>
    <t>Total weight</t>
  </si>
  <si>
    <t>x1 availability</t>
  </si>
  <si>
    <t>x2 availability</t>
  </si>
  <si>
    <t>x3 availability</t>
  </si>
  <si>
    <t>x4 availability</t>
  </si>
  <si>
    <t xml:space="preserve">x1, x2, x3, x4 &gt;=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</si>
</sst>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3" sqref="G3"/>
    </sheetView>
  </sheetViews>
  <sheetFormatPr defaultRowHeight="14.4" x14ac:dyDescent="0.3"/>
  <cols>
    <col min="1" max="1" width="22" customWidth="1"/>
    <col min="2" max="2" width="18" customWidth="1"/>
    <col min="3" max="3" width="12.21875" bestFit="1" customWidth="1"/>
    <col min="4" max="4" width="16.88671875" bestFit="1" customWidth="1"/>
    <col min="5" max="5" width="14.21875" bestFit="1" customWidth="1"/>
    <col min="7" max="7" width="30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7" x14ac:dyDescent="0.3">
      <c r="B2">
        <v>5</v>
      </c>
      <c r="C2">
        <v>0</v>
      </c>
      <c r="D2">
        <v>6</v>
      </c>
      <c r="E2">
        <v>0</v>
      </c>
      <c r="G2">
        <f>SUMPRODUCT(B2:E2,B3:E3)</f>
        <v>240</v>
      </c>
    </row>
    <row r="3" spans="1:7" x14ac:dyDescent="0.3">
      <c r="A3" t="s">
        <v>6</v>
      </c>
      <c r="B3">
        <v>12</v>
      </c>
      <c r="C3">
        <v>10</v>
      </c>
      <c r="D3">
        <v>30</v>
      </c>
      <c r="E3">
        <v>25</v>
      </c>
    </row>
    <row r="4" spans="1:7" x14ac:dyDescent="0.3">
      <c r="A4" t="s">
        <v>7</v>
      </c>
      <c r="B4">
        <v>180</v>
      </c>
      <c r="C4">
        <v>200</v>
      </c>
      <c r="D4">
        <v>350</v>
      </c>
      <c r="E4">
        <v>400</v>
      </c>
    </row>
    <row r="5" spans="1:7" x14ac:dyDescent="0.3">
      <c r="A5" t="s">
        <v>8</v>
      </c>
      <c r="B5">
        <v>90</v>
      </c>
      <c r="C5">
        <v>100</v>
      </c>
      <c r="D5">
        <v>160</v>
      </c>
      <c r="E5">
        <v>180</v>
      </c>
    </row>
    <row r="8" spans="1:7" x14ac:dyDescent="0.3">
      <c r="A8" s="1" t="s">
        <v>9</v>
      </c>
      <c r="B8" t="s">
        <v>10</v>
      </c>
      <c r="C8" t="s">
        <v>11</v>
      </c>
      <c r="D8" t="s">
        <v>12</v>
      </c>
    </row>
    <row r="9" spans="1:7" x14ac:dyDescent="0.3">
      <c r="A9" t="s">
        <v>13</v>
      </c>
      <c r="B9">
        <f>SUMPRODUCT(B2:E2,B5:E5)</f>
        <v>1410</v>
      </c>
      <c r="C9" t="s">
        <v>14</v>
      </c>
      <c r="D9">
        <v>2500</v>
      </c>
    </row>
    <row r="10" spans="1:7" x14ac:dyDescent="0.3">
      <c r="A10" t="s">
        <v>15</v>
      </c>
      <c r="B10">
        <f>SUMPRODUCT(B2:E2,B4:E4)</f>
        <v>3000</v>
      </c>
      <c r="C10" t="s">
        <v>14</v>
      </c>
      <c r="D10">
        <v>3000</v>
      </c>
    </row>
    <row r="11" spans="1:7" x14ac:dyDescent="0.3">
      <c r="A11" t="s">
        <v>16</v>
      </c>
      <c r="B11">
        <f>B2</f>
        <v>5</v>
      </c>
      <c r="C11" t="s">
        <v>14</v>
      </c>
      <c r="D11">
        <v>12</v>
      </c>
    </row>
    <row r="12" spans="1:7" x14ac:dyDescent="0.3">
      <c r="A12" t="s">
        <v>17</v>
      </c>
      <c r="B12">
        <f>C2</f>
        <v>0</v>
      </c>
      <c r="C12" t="s">
        <v>14</v>
      </c>
      <c r="D12">
        <v>10</v>
      </c>
    </row>
    <row r="13" spans="1:7" x14ac:dyDescent="0.3">
      <c r="A13" t="s">
        <v>18</v>
      </c>
      <c r="B13">
        <f>D2</f>
        <v>6</v>
      </c>
      <c r="C13" t="s">
        <v>14</v>
      </c>
      <c r="D13">
        <v>6</v>
      </c>
    </row>
    <row r="14" spans="1:7" x14ac:dyDescent="0.3">
      <c r="A14" t="s">
        <v>19</v>
      </c>
      <c r="B14">
        <f>E2</f>
        <v>0</v>
      </c>
      <c r="C14" t="s">
        <v>14</v>
      </c>
      <c r="D14">
        <v>8</v>
      </c>
    </row>
    <row r="15" spans="1:7" x14ac:dyDescent="0.3">
      <c r="A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LP_ExampleStyle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2025-11-19T09:11:50Z</dcterms:created>
  <dcterms:modified xsi:type="dcterms:W3CDTF">2025-11-28T07:54:07Z</dcterms:modified>
</cp:coreProperties>
</file>