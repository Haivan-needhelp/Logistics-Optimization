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MY PC\Downloads\Data_optimisation\"/>
    </mc:Choice>
  </mc:AlternateContent>
  <xr:revisionPtr revIDLastSave="0" documentId="13_ncr:1_{A96EC29F-6E27-4ECE-A797-742E52CCEAF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outing(4Vans)" sheetId="1" r:id="rId1"/>
    <sheet name="B&amp;B optimal" sheetId="2" r:id="rId2"/>
  </sheets>
  <calcPr calcId="191029"/>
</workbook>
</file>

<file path=xl/calcChain.xml><?xml version="1.0" encoding="utf-8"?>
<calcChain xmlns="http://schemas.openxmlformats.org/spreadsheetml/2006/main">
  <c r="G17" i="1" l="1"/>
  <c r="E33" i="1"/>
  <c r="D33" i="1"/>
  <c r="E20" i="1"/>
  <c r="D20" i="1"/>
  <c r="G17" i="2"/>
  <c r="E41" i="2"/>
  <c r="E42" i="2" s="1"/>
  <c r="D42" i="2"/>
  <c r="D41" i="2"/>
  <c r="D40" i="2"/>
  <c r="D39" i="2"/>
  <c r="D38" i="2"/>
  <c r="D37" i="2"/>
  <c r="E37" i="2" s="1"/>
  <c r="D31" i="2"/>
  <c r="D30" i="2"/>
  <c r="E30" i="2" s="1"/>
  <c r="D25" i="2"/>
  <c r="D24" i="2"/>
  <c r="D23" i="2"/>
  <c r="E23" i="2" s="1"/>
  <c r="D18" i="2"/>
  <c r="D17" i="2"/>
  <c r="E17" i="2" s="1"/>
  <c r="D38" i="1"/>
  <c r="D37" i="1"/>
  <c r="E37" i="1" s="1"/>
  <c r="D32" i="1"/>
  <c r="D31" i="1"/>
  <c r="D30" i="1"/>
  <c r="E30" i="1" s="1"/>
  <c r="D25" i="1"/>
  <c r="D24" i="1"/>
  <c r="D23" i="1"/>
  <c r="E23" i="1" s="1"/>
  <c r="D17" i="1"/>
  <c r="E17" i="1" s="1"/>
  <c r="D19" i="1"/>
  <c r="D18" i="1"/>
  <c r="E38" i="2" l="1"/>
  <c r="E39" i="2" s="1"/>
  <c r="E40" i="2" s="1"/>
  <c r="E31" i="2"/>
  <c r="E24" i="2"/>
  <c r="E25" i="2" s="1"/>
  <c r="E18" i="2"/>
  <c r="E38" i="1"/>
  <c r="E31" i="1"/>
  <c r="E32" i="1" s="1"/>
  <c r="E24" i="1"/>
  <c r="E25" i="1" s="1"/>
  <c r="E18" i="1"/>
  <c r="E19" i="1" s="1"/>
</calcChain>
</file>

<file path=xl/sharedStrings.xml><?xml version="1.0" encoding="utf-8"?>
<sst xmlns="http://schemas.openxmlformats.org/spreadsheetml/2006/main" count="162" uniqueCount="31">
  <si>
    <t>Smart City Routing - 4-Van Solution (cluster + nearest neighbour)</t>
  </si>
  <si>
    <t>From \ To</t>
  </si>
  <si>
    <t>W</t>
  </si>
  <si>
    <t>LAT</t>
  </si>
  <si>
    <t>UoB</t>
  </si>
  <si>
    <t>LRP</t>
  </si>
  <si>
    <t>CGB</t>
  </si>
  <si>
    <t>LDHS</t>
  </si>
  <si>
    <t>LTC</t>
  </si>
  <si>
    <t>HWI</t>
  </si>
  <si>
    <t>CDH</t>
  </si>
  <si>
    <t>BBP</t>
  </si>
  <si>
    <t>Step</t>
  </si>
  <si>
    <t>From</t>
  </si>
  <si>
    <t>To</t>
  </si>
  <si>
    <t>Distance (km)</t>
  </si>
  <si>
    <t>Cumulative distance (km)</t>
  </si>
  <si>
    <t>Warehouse(W)</t>
  </si>
  <si>
    <t>Luton Airport Cargo Terminal(LAT)</t>
  </si>
  <si>
    <t>University of Bedfordshire Campus(UoB)</t>
  </si>
  <si>
    <t>Luton Retail Park(LRP)</t>
  </si>
  <si>
    <t>Capability Green Business Park(CGB)</t>
  </si>
  <si>
    <t>L&amp;D Hospital Supplies Dock(LDHS)</t>
  </si>
  <si>
    <t>Luton Town Centre(LTC)</t>
  </si>
  <si>
    <t>Hatters Way Industrial Estate(HWI)</t>
  </si>
  <si>
    <t>Challney Distribution Hub(CDH)</t>
  </si>
  <si>
    <t>Butterfield Bch and usiness Park(BBP)</t>
  </si>
  <si>
    <t>List of acronyms</t>
  </si>
  <si>
    <t xml:space="preserve">Optimal route </t>
  </si>
  <si>
    <t xml:space="preserve">Sum of optimal route: </t>
  </si>
  <si>
    <t>Smart City Routing - 4-Van Solution (Global optimal)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</si>
</sst>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3.5"/>
      <color theme="1"/>
      <name val="Calibri"/>
      <family val="2"/>
      <scheme val="minor"/>
    </font>
    <font>
      <sz val="8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5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1" fillId="0" borderId="0" xfId="0" applyFont="1" applyAlignment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F1AAC8-1046-4688-81F8-4AD107B85759}" name="Table1" displayName="Table1" ref="A2:K12" totalsRowShown="0" headerRowDxfId="3">
  <autoFilter ref="A2:K12" xr:uid="{0CF1AAC8-1046-4688-81F8-4AD107B85759}"/>
  <tableColumns count="11">
    <tableColumn id="1" xr3:uid="{4DC938A4-2898-4A17-975E-0F01D59051B6}" name="From \ To" dataDxfId="2"/>
    <tableColumn id="2" xr3:uid="{1D548955-3E88-45FA-AB1F-412A54EFCE2E}" name="W"/>
    <tableColumn id="3" xr3:uid="{98E938F2-8B02-476F-A0DC-92562B8C341F}" name="LAT"/>
    <tableColumn id="4" xr3:uid="{EBF31B85-DB2A-42FA-90DB-C38BB3D315B3}" name="UoB"/>
    <tableColumn id="5" xr3:uid="{2675A256-4B89-42D7-A5CC-A16FFEFFFEF5}" name="LRP"/>
    <tableColumn id="6" xr3:uid="{F4A0911F-0CFE-433F-8124-7835DFDD6E2B}" name="CGB"/>
    <tableColumn id="7" xr3:uid="{1834D439-9C61-444E-B997-8FAE10772459}" name="LDHS"/>
    <tableColumn id="8" xr3:uid="{C4C5CB95-D87E-4B90-844D-9736A8DC4FA1}" name="LTC"/>
    <tableColumn id="9" xr3:uid="{21FE1B06-5B9A-4D12-B7FB-A9E3C363D7A0}" name="HWI"/>
    <tableColumn id="10" xr3:uid="{3F561B74-2DAA-4BC6-B6AA-8ED3A9E52FF2}" name="CDH"/>
    <tableColumn id="11" xr3:uid="{E7FBD3F9-AFB7-4509-80F8-8734BCE3D4C6}" name="BBP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E71211-E4F7-4E47-BA09-2718BDC3878C}" name="Table13" displayName="Table13" ref="A2:K12" totalsRowShown="0" headerRowDxfId="1">
  <autoFilter ref="A2:K12" xr:uid="{8BE71211-E4F7-4E47-BA09-2718BDC3878C}"/>
  <tableColumns count="11">
    <tableColumn id="1" xr3:uid="{FC535625-1F48-4398-8D31-83188F1D0DD4}" name="From \ To" dataDxfId="0"/>
    <tableColumn id="2" xr3:uid="{FF4247EB-93EF-42CB-B9A4-A38DCD77F265}" name="W"/>
    <tableColumn id="3" xr3:uid="{BCB83758-3670-40D6-B67A-8E3D955C1ECE}" name="LAT"/>
    <tableColumn id="4" xr3:uid="{F612F19E-5AC6-42C8-B4B2-C6A976448816}" name="UoB"/>
    <tableColumn id="5" xr3:uid="{E4B7434B-9D7B-43C2-BFD9-9367949EB149}" name="LRP"/>
    <tableColumn id="6" xr3:uid="{EE188D6E-9CDB-418D-AEB9-A630AD47E11E}" name="CGB"/>
    <tableColumn id="7" xr3:uid="{93EFEABD-79D3-4E85-A864-D964EF94F7DB}" name="LDHS"/>
    <tableColumn id="8" xr3:uid="{CADB62C9-3152-4264-9EB1-CDD3CF4F09A9}" name="LTC"/>
    <tableColumn id="9" xr3:uid="{1638A537-73DF-4319-BCE7-114DF178779D}" name="HWI"/>
    <tableColumn id="10" xr3:uid="{F597AE40-B35B-465C-8C4E-F23D59C360C0}" name="CDH"/>
    <tableColumn id="11" xr3:uid="{148F29BD-B362-4BB5-BCED-7A350A24C670}" name="BBP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0"/>
  <sheetViews>
    <sheetView tabSelected="1" zoomScale="70" zoomScaleNormal="70" workbookViewId="0">
      <selection activeCell="M24" sqref="M24"/>
    </sheetView>
  </sheetViews>
  <sheetFormatPr defaultRowHeight="14.4" x14ac:dyDescent="0.3"/>
  <cols>
    <col min="1" max="1" width="25.44140625" customWidth="1"/>
    <col min="2" max="3" width="10" customWidth="1"/>
    <col min="4" max="4" width="18" customWidth="1"/>
    <col min="5" max="5" width="26" customWidth="1"/>
    <col min="13" max="13" width="35.88671875" bestFit="1" customWidth="1"/>
  </cols>
  <sheetData>
    <row r="1" spans="1:13" x14ac:dyDescent="0.3">
      <c r="A1" s="1" t="s">
        <v>0</v>
      </c>
      <c r="M1" s="2" t="s">
        <v>27</v>
      </c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M2" s="3" t="s">
        <v>17</v>
      </c>
    </row>
    <row r="3" spans="1:13" x14ac:dyDescent="0.3">
      <c r="A3" s="1" t="s">
        <v>2</v>
      </c>
      <c r="B3">
        <v>0</v>
      </c>
      <c r="C3">
        <v>4.2</v>
      </c>
      <c r="D3">
        <v>2.5</v>
      </c>
      <c r="E3">
        <v>3.1</v>
      </c>
      <c r="F3">
        <v>2.8</v>
      </c>
      <c r="G3">
        <v>4</v>
      </c>
      <c r="H3">
        <v>2</v>
      </c>
      <c r="I3">
        <v>3.5</v>
      </c>
      <c r="J3">
        <v>4.0999999999999996</v>
      </c>
      <c r="K3">
        <v>6</v>
      </c>
      <c r="M3" s="3" t="s">
        <v>18</v>
      </c>
    </row>
    <row r="4" spans="1:13" x14ac:dyDescent="0.3">
      <c r="A4" s="1" t="s">
        <v>3</v>
      </c>
      <c r="B4">
        <v>4.2</v>
      </c>
      <c r="C4">
        <v>0</v>
      </c>
      <c r="D4">
        <v>3.8</v>
      </c>
      <c r="E4">
        <v>5</v>
      </c>
      <c r="F4">
        <v>2</v>
      </c>
      <c r="G4">
        <v>5.5</v>
      </c>
      <c r="H4">
        <v>4.5</v>
      </c>
      <c r="I4">
        <v>6</v>
      </c>
      <c r="J4">
        <v>6.5</v>
      </c>
      <c r="K4">
        <v>7.2</v>
      </c>
      <c r="M4" s="3" t="s">
        <v>19</v>
      </c>
    </row>
    <row r="5" spans="1:13" x14ac:dyDescent="0.3">
      <c r="A5" s="1" t="s">
        <v>4</v>
      </c>
      <c r="B5">
        <v>2.5</v>
      </c>
      <c r="C5">
        <v>3.8</v>
      </c>
      <c r="D5">
        <v>0</v>
      </c>
      <c r="E5">
        <v>2</v>
      </c>
      <c r="F5">
        <v>2.5</v>
      </c>
      <c r="G5">
        <v>3</v>
      </c>
      <c r="H5">
        <v>1</v>
      </c>
      <c r="I5">
        <v>3.2</v>
      </c>
      <c r="J5">
        <v>4</v>
      </c>
      <c r="K5">
        <v>5.5</v>
      </c>
      <c r="M5" s="3" t="s">
        <v>20</v>
      </c>
    </row>
    <row r="6" spans="1:13" x14ac:dyDescent="0.3">
      <c r="A6" s="1" t="s">
        <v>5</v>
      </c>
      <c r="B6">
        <v>3.1</v>
      </c>
      <c r="C6">
        <v>5</v>
      </c>
      <c r="D6">
        <v>2</v>
      </c>
      <c r="E6">
        <v>0</v>
      </c>
      <c r="F6">
        <v>3.5</v>
      </c>
      <c r="G6">
        <v>2.8</v>
      </c>
      <c r="H6">
        <v>2.2000000000000002</v>
      </c>
      <c r="I6">
        <v>2.5</v>
      </c>
      <c r="J6">
        <v>3.8</v>
      </c>
      <c r="K6">
        <v>6.2</v>
      </c>
      <c r="M6" s="3" t="s">
        <v>21</v>
      </c>
    </row>
    <row r="7" spans="1:13" x14ac:dyDescent="0.3">
      <c r="A7" s="1" t="s">
        <v>6</v>
      </c>
      <c r="B7">
        <v>2.8</v>
      </c>
      <c r="C7">
        <v>2</v>
      </c>
      <c r="D7">
        <v>2.5</v>
      </c>
      <c r="E7">
        <v>3.5</v>
      </c>
      <c r="F7">
        <v>0</v>
      </c>
      <c r="G7">
        <v>4</v>
      </c>
      <c r="H7">
        <v>3</v>
      </c>
      <c r="I7">
        <v>4.5</v>
      </c>
      <c r="J7">
        <v>5</v>
      </c>
      <c r="K7">
        <v>6.8</v>
      </c>
      <c r="M7" s="3" t="s">
        <v>22</v>
      </c>
    </row>
    <row r="8" spans="1:13" x14ac:dyDescent="0.3">
      <c r="A8" s="1" t="s">
        <v>7</v>
      </c>
      <c r="B8">
        <v>4</v>
      </c>
      <c r="C8">
        <v>5.5</v>
      </c>
      <c r="D8">
        <v>3</v>
      </c>
      <c r="E8">
        <v>2.8</v>
      </c>
      <c r="F8">
        <v>4</v>
      </c>
      <c r="G8">
        <v>0</v>
      </c>
      <c r="H8">
        <v>2.5</v>
      </c>
      <c r="I8">
        <v>2</v>
      </c>
      <c r="J8">
        <v>2.8</v>
      </c>
      <c r="K8">
        <v>5</v>
      </c>
      <c r="M8" s="3" t="s">
        <v>23</v>
      </c>
    </row>
    <row r="9" spans="1:13" x14ac:dyDescent="0.3">
      <c r="A9" s="1" t="s">
        <v>8</v>
      </c>
      <c r="B9">
        <v>2</v>
      </c>
      <c r="C9">
        <v>4.5</v>
      </c>
      <c r="D9">
        <v>1</v>
      </c>
      <c r="E9">
        <v>2.2000000000000002</v>
      </c>
      <c r="F9">
        <v>3</v>
      </c>
      <c r="G9">
        <v>2.5</v>
      </c>
      <c r="H9">
        <v>0</v>
      </c>
      <c r="I9">
        <v>2.8</v>
      </c>
      <c r="J9">
        <v>3.5</v>
      </c>
      <c r="K9">
        <v>5.2</v>
      </c>
      <c r="M9" s="3" t="s">
        <v>24</v>
      </c>
    </row>
    <row r="10" spans="1:13" x14ac:dyDescent="0.3">
      <c r="A10" s="1" t="s">
        <v>9</v>
      </c>
      <c r="B10">
        <v>3.5</v>
      </c>
      <c r="C10">
        <v>6</v>
      </c>
      <c r="D10">
        <v>3.2</v>
      </c>
      <c r="E10">
        <v>2.5</v>
      </c>
      <c r="F10">
        <v>4.5</v>
      </c>
      <c r="G10">
        <v>2</v>
      </c>
      <c r="H10">
        <v>2.8</v>
      </c>
      <c r="I10">
        <v>0</v>
      </c>
      <c r="J10">
        <v>1.5</v>
      </c>
      <c r="K10">
        <v>4.8</v>
      </c>
      <c r="M10" s="3" t="s">
        <v>25</v>
      </c>
    </row>
    <row r="11" spans="1:13" x14ac:dyDescent="0.3">
      <c r="A11" s="1" t="s">
        <v>10</v>
      </c>
      <c r="B11">
        <v>4.0999999999999996</v>
      </c>
      <c r="C11">
        <v>6.5</v>
      </c>
      <c r="D11">
        <v>4</v>
      </c>
      <c r="E11">
        <v>3.8</v>
      </c>
      <c r="F11">
        <v>5</v>
      </c>
      <c r="G11">
        <v>2.8</v>
      </c>
      <c r="H11">
        <v>3.5</v>
      </c>
      <c r="I11">
        <v>1.5</v>
      </c>
      <c r="J11">
        <v>0</v>
      </c>
      <c r="K11">
        <v>4.5</v>
      </c>
      <c r="M11" s="3" t="s">
        <v>26</v>
      </c>
    </row>
    <row r="12" spans="1:13" x14ac:dyDescent="0.3">
      <c r="A12" s="1" t="s">
        <v>11</v>
      </c>
      <c r="B12">
        <v>6</v>
      </c>
      <c r="C12">
        <v>7.2</v>
      </c>
      <c r="D12">
        <v>5.5</v>
      </c>
      <c r="E12">
        <v>6.2</v>
      </c>
      <c r="F12">
        <v>6.8</v>
      </c>
      <c r="G12">
        <v>5</v>
      </c>
      <c r="H12">
        <v>5.2</v>
      </c>
      <c r="I12">
        <v>4.8</v>
      </c>
      <c r="J12">
        <v>4.5</v>
      </c>
      <c r="K12">
        <v>0</v>
      </c>
    </row>
    <row r="15" spans="1:13" x14ac:dyDescent="0.3">
      <c r="A15" s="1" t="s">
        <v>28</v>
      </c>
    </row>
    <row r="16" spans="1:13" ht="18" x14ac:dyDescent="0.3">
      <c r="A16" s="1" t="s">
        <v>12</v>
      </c>
      <c r="B16" s="1" t="s">
        <v>13</v>
      </c>
      <c r="C16" s="1" t="s">
        <v>14</v>
      </c>
      <c r="D16" s="1" t="s">
        <v>15</v>
      </c>
      <c r="E16" s="1" t="s">
        <v>16</v>
      </c>
      <c r="G16" s="1" t="s">
        <v>29</v>
      </c>
      <c r="H16" s="4"/>
    </row>
    <row r="17" spans="1:13" x14ac:dyDescent="0.3">
      <c r="A17">
        <v>1</v>
      </c>
      <c r="B17" t="s">
        <v>2</v>
      </c>
      <c r="C17" t="s">
        <v>8</v>
      </c>
      <c r="D17">
        <f>INDEX($B$3:$K$12,MATCH(B17,$A$3:$A$12,0),MATCH(C17,$B$2:$K$2,0))</f>
        <v>2</v>
      </c>
      <c r="E17">
        <f>D17</f>
        <v>2</v>
      </c>
      <c r="G17">
        <f>SUM(E20,E25,E33,E38)</f>
        <v>40.900000000000006</v>
      </c>
      <c r="H17" s="5"/>
    </row>
    <row r="18" spans="1:13" x14ac:dyDescent="0.3">
      <c r="A18">
        <v>2</v>
      </c>
      <c r="B18" t="s">
        <v>8</v>
      </c>
      <c r="C18" t="s">
        <v>4</v>
      </c>
      <c r="D18">
        <f>INDEX($B$3:$K$12,MATCH(B18,$A$3:$A$12,0),MATCH(C18,$B$2:$K$2,0))</f>
        <v>1</v>
      </c>
      <c r="E18">
        <f>E17+D18</f>
        <v>3</v>
      </c>
      <c r="H18" s="6"/>
    </row>
    <row r="19" spans="1:13" x14ac:dyDescent="0.3">
      <c r="A19">
        <v>3</v>
      </c>
      <c r="B19" t="s">
        <v>4</v>
      </c>
      <c r="C19" t="s">
        <v>5</v>
      </c>
      <c r="D19">
        <f>INDEX($B$3:$K$12,MATCH(B19,$A$3:$A$12,0),MATCH(C19,$B$2:$K$2,0))</f>
        <v>2</v>
      </c>
      <c r="E19">
        <f>E18+D19</f>
        <v>5</v>
      </c>
      <c r="H19" s="5"/>
    </row>
    <row r="20" spans="1:13" x14ac:dyDescent="0.3">
      <c r="A20">
        <v>4</v>
      </c>
      <c r="B20" t="s">
        <v>5</v>
      </c>
      <c r="C20" t="s">
        <v>2</v>
      </c>
      <c r="D20">
        <f>INDEX($B$3:$K$12,MATCH(B20,$A$3:$A$12,0),MATCH(C20,$B$2:$K$2,0))</f>
        <v>3.1</v>
      </c>
      <c r="E20">
        <f>E19+D20</f>
        <v>8.1</v>
      </c>
      <c r="M20" s="7"/>
    </row>
    <row r="21" spans="1:13" ht="18" x14ac:dyDescent="0.3">
      <c r="H21" s="4"/>
    </row>
    <row r="22" spans="1:13" x14ac:dyDescent="0.3">
      <c r="A22" s="1" t="s">
        <v>12</v>
      </c>
      <c r="B22" s="1" t="s">
        <v>13</v>
      </c>
      <c r="C22" s="1" t="s">
        <v>14</v>
      </c>
      <c r="D22" s="1" t="s">
        <v>15</v>
      </c>
      <c r="E22" s="1" t="s">
        <v>16</v>
      </c>
      <c r="H22" s="6"/>
    </row>
    <row r="23" spans="1:13" x14ac:dyDescent="0.3">
      <c r="A23">
        <v>1</v>
      </c>
      <c r="B23" t="s">
        <v>2</v>
      </c>
      <c r="C23" t="s">
        <v>6</v>
      </c>
      <c r="D23">
        <f>INDEX($B$3:$K$12,MATCH(B23,$A$3:$A$12,0),MATCH(C23,$B$2:$K$2,0))</f>
        <v>2.8</v>
      </c>
      <c r="E23">
        <f>D23</f>
        <v>2.8</v>
      </c>
      <c r="H23" s="5"/>
    </row>
    <row r="24" spans="1:13" x14ac:dyDescent="0.3">
      <c r="A24">
        <v>2</v>
      </c>
      <c r="B24" t="s">
        <v>6</v>
      </c>
      <c r="C24" t="s">
        <v>3</v>
      </c>
      <c r="D24">
        <f>INDEX($B$3:$K$12,MATCH(B24,$A$3:$A$12,0),MATCH(C24,$B$2:$K$2,0))</f>
        <v>2</v>
      </c>
      <c r="E24">
        <f>E23+D24</f>
        <v>4.8</v>
      </c>
    </row>
    <row r="25" spans="1:13" ht="18" x14ac:dyDescent="0.3">
      <c r="A25">
        <v>3</v>
      </c>
      <c r="B25" t="s">
        <v>3</v>
      </c>
      <c r="C25" t="s">
        <v>2</v>
      </c>
      <c r="D25">
        <f>INDEX($B$3:$K$12,MATCH(B25,$A$3:$A$12,0),MATCH(C25,$B$2:$K$2,0))</f>
        <v>4.2</v>
      </c>
      <c r="E25">
        <f>E24+D25</f>
        <v>9</v>
      </c>
      <c r="H25" s="4"/>
    </row>
    <row r="26" spans="1:13" x14ac:dyDescent="0.3">
      <c r="H26" s="5"/>
    </row>
    <row r="27" spans="1:13" x14ac:dyDescent="0.3">
      <c r="H27" s="6"/>
    </row>
    <row r="28" spans="1:13" x14ac:dyDescent="0.3">
      <c r="H28" s="5"/>
    </row>
    <row r="29" spans="1:13" x14ac:dyDescent="0.3">
      <c r="A29" s="1" t="s">
        <v>12</v>
      </c>
      <c r="B29" s="1" t="s">
        <v>13</v>
      </c>
      <c r="C29" s="1" t="s">
        <v>14</v>
      </c>
      <c r="D29" s="1" t="s">
        <v>15</v>
      </c>
      <c r="E29" s="1" t="s">
        <v>16</v>
      </c>
    </row>
    <row r="30" spans="1:13" x14ac:dyDescent="0.3">
      <c r="A30">
        <v>1</v>
      </c>
      <c r="B30" t="s">
        <v>2</v>
      </c>
      <c r="C30" t="s">
        <v>9</v>
      </c>
      <c r="D30">
        <f>INDEX($B$3:$K$12,MATCH(B30,$A$3:$A$12,0),MATCH(C30,$B$2:$K$2,0))</f>
        <v>3.5</v>
      </c>
      <c r="E30">
        <f>D30</f>
        <v>3.5</v>
      </c>
    </row>
    <row r="31" spans="1:13" x14ac:dyDescent="0.3">
      <c r="A31">
        <v>2</v>
      </c>
      <c r="B31" t="s">
        <v>9</v>
      </c>
      <c r="C31" t="s">
        <v>10</v>
      </c>
      <c r="D31">
        <f>INDEX($B$3:$K$12,MATCH(B31,$A$3:$A$12,0),MATCH(C31,$B$2:$K$2,0))</f>
        <v>1.5</v>
      </c>
      <c r="E31">
        <f>E30+D31</f>
        <v>5</v>
      </c>
      <c r="H31" s="5"/>
    </row>
    <row r="32" spans="1:13" x14ac:dyDescent="0.3">
      <c r="A32">
        <v>3</v>
      </c>
      <c r="B32" t="s">
        <v>10</v>
      </c>
      <c r="C32" t="s">
        <v>7</v>
      </c>
      <c r="D32">
        <f>INDEX($B$3:$K$12,MATCH(B32,$A$3:$A$12,0),MATCH(C32,$B$2:$K$2,0))</f>
        <v>2.8</v>
      </c>
      <c r="E32">
        <f>E31+D32</f>
        <v>7.8</v>
      </c>
      <c r="H32" s="5"/>
    </row>
    <row r="33" spans="1:5" x14ac:dyDescent="0.3">
      <c r="B33" t="s">
        <v>7</v>
      </c>
      <c r="C33" t="s">
        <v>2</v>
      </c>
      <c r="D33">
        <f>INDEX($B$3:$K$12,MATCH(B33,$A$3:$A$12,0),MATCH(C33,$B$2:$K$2,0))</f>
        <v>4</v>
      </c>
      <c r="E33">
        <f>E32+D33</f>
        <v>11.8</v>
      </c>
    </row>
    <row r="34" spans="1:5" x14ac:dyDescent="0.3">
      <c r="A34" s="1"/>
    </row>
    <row r="35" spans="1:5" x14ac:dyDescent="0.3">
      <c r="A35" s="1"/>
      <c r="B35" s="1"/>
      <c r="C35" s="1"/>
      <c r="D35" s="1"/>
      <c r="E35" s="1"/>
    </row>
    <row r="36" spans="1:5" x14ac:dyDescent="0.3">
      <c r="A36" s="1" t="s">
        <v>12</v>
      </c>
      <c r="B36" s="1" t="s">
        <v>13</v>
      </c>
      <c r="C36" s="1" t="s">
        <v>14</v>
      </c>
      <c r="D36" s="1" t="s">
        <v>15</v>
      </c>
      <c r="E36" s="1" t="s">
        <v>16</v>
      </c>
    </row>
    <row r="37" spans="1:5" x14ac:dyDescent="0.3">
      <c r="A37">
        <v>1</v>
      </c>
      <c r="B37" t="s">
        <v>2</v>
      </c>
      <c r="C37" t="s">
        <v>11</v>
      </c>
      <c r="D37">
        <f>INDEX($B$3:$K$12,MATCH(B37,$A$3:$A$12,0),MATCH(C37,$B$2:$K$2,0))</f>
        <v>6</v>
      </c>
      <c r="E37">
        <f>D37</f>
        <v>6</v>
      </c>
    </row>
    <row r="38" spans="1:5" x14ac:dyDescent="0.3">
      <c r="A38">
        <v>2</v>
      </c>
      <c r="B38" t="s">
        <v>11</v>
      </c>
      <c r="C38" t="s">
        <v>2</v>
      </c>
      <c r="D38">
        <f>INDEX($B$3:$K$12,MATCH(B38,$A$3:$A$12,0),MATCH(C38,$B$2:$K$2,0))</f>
        <v>6</v>
      </c>
      <c r="E38">
        <f>E37+D38</f>
        <v>12</v>
      </c>
    </row>
    <row r="44" spans="1:5" x14ac:dyDescent="0.3">
      <c r="A44" s="1"/>
    </row>
    <row r="45" spans="1:5" x14ac:dyDescent="0.3">
      <c r="A45" s="1"/>
      <c r="B45" s="1"/>
      <c r="C45" s="1"/>
      <c r="D45" s="1"/>
      <c r="E45" s="1"/>
    </row>
    <row r="51" spans="1:4" x14ac:dyDescent="0.3">
      <c r="D51" s="2"/>
    </row>
    <row r="54" spans="1:4" x14ac:dyDescent="0.3">
      <c r="A54" s="1"/>
    </row>
    <row r="60" spans="1:4" x14ac:dyDescent="0.3">
      <c r="A60" s="2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98B0F-9796-416C-B6E6-C145EA2599C2}">
  <dimension ref="A1:M42"/>
  <sheetViews>
    <sheetView zoomScale="70" zoomScaleNormal="70" workbookViewId="0">
      <selection activeCell="J22" sqref="J22"/>
    </sheetView>
  </sheetViews>
  <sheetFormatPr defaultRowHeight="14.4" x14ac:dyDescent="0.3"/>
  <cols>
    <col min="5" max="5" width="10.6640625" customWidth="1"/>
  </cols>
  <sheetData>
    <row r="1" spans="1:13" x14ac:dyDescent="0.3">
      <c r="A1" s="1" t="s">
        <v>30</v>
      </c>
      <c r="M1" s="2" t="s">
        <v>27</v>
      </c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M2" s="3" t="s">
        <v>17</v>
      </c>
    </row>
    <row r="3" spans="1:13" x14ac:dyDescent="0.3">
      <c r="A3" s="1" t="s">
        <v>2</v>
      </c>
      <c r="B3">
        <v>0</v>
      </c>
      <c r="C3">
        <v>4.2</v>
      </c>
      <c r="D3">
        <v>2.5</v>
      </c>
      <c r="E3">
        <v>3.1</v>
      </c>
      <c r="F3">
        <v>2.8</v>
      </c>
      <c r="G3">
        <v>4</v>
      </c>
      <c r="H3">
        <v>2</v>
      </c>
      <c r="I3">
        <v>3.5</v>
      </c>
      <c r="J3">
        <v>4.0999999999999996</v>
      </c>
      <c r="K3">
        <v>6</v>
      </c>
      <c r="M3" s="3" t="s">
        <v>18</v>
      </c>
    </row>
    <row r="4" spans="1:13" x14ac:dyDescent="0.3">
      <c r="A4" s="1" t="s">
        <v>3</v>
      </c>
      <c r="B4">
        <v>4.2</v>
      </c>
      <c r="C4">
        <v>0</v>
      </c>
      <c r="D4">
        <v>3.8</v>
      </c>
      <c r="E4">
        <v>5</v>
      </c>
      <c r="F4">
        <v>2</v>
      </c>
      <c r="G4">
        <v>5.5</v>
      </c>
      <c r="H4">
        <v>4.5</v>
      </c>
      <c r="I4">
        <v>6</v>
      </c>
      <c r="J4">
        <v>6.5</v>
      </c>
      <c r="K4">
        <v>7.2</v>
      </c>
      <c r="M4" s="3" t="s">
        <v>19</v>
      </c>
    </row>
    <row r="5" spans="1:13" x14ac:dyDescent="0.3">
      <c r="A5" s="1" t="s">
        <v>4</v>
      </c>
      <c r="B5">
        <v>2.5</v>
      </c>
      <c r="C5">
        <v>3.8</v>
      </c>
      <c r="D5">
        <v>0</v>
      </c>
      <c r="E5">
        <v>2</v>
      </c>
      <c r="F5">
        <v>2.5</v>
      </c>
      <c r="G5">
        <v>3</v>
      </c>
      <c r="H5">
        <v>1</v>
      </c>
      <c r="I5">
        <v>3.2</v>
      </c>
      <c r="J5">
        <v>4</v>
      </c>
      <c r="K5">
        <v>5.5</v>
      </c>
      <c r="M5" s="3" t="s">
        <v>20</v>
      </c>
    </row>
    <row r="6" spans="1:13" x14ac:dyDescent="0.3">
      <c r="A6" s="1" t="s">
        <v>5</v>
      </c>
      <c r="B6">
        <v>3.1</v>
      </c>
      <c r="C6">
        <v>5</v>
      </c>
      <c r="D6">
        <v>2</v>
      </c>
      <c r="E6">
        <v>0</v>
      </c>
      <c r="F6">
        <v>3.5</v>
      </c>
      <c r="G6">
        <v>2.8</v>
      </c>
      <c r="H6">
        <v>2.2000000000000002</v>
      </c>
      <c r="I6">
        <v>2.5</v>
      </c>
      <c r="J6">
        <v>3.8</v>
      </c>
      <c r="K6">
        <v>6.2</v>
      </c>
      <c r="M6" s="3" t="s">
        <v>21</v>
      </c>
    </row>
    <row r="7" spans="1:13" x14ac:dyDescent="0.3">
      <c r="A7" s="1" t="s">
        <v>6</v>
      </c>
      <c r="B7">
        <v>2.8</v>
      </c>
      <c r="C7">
        <v>2</v>
      </c>
      <c r="D7">
        <v>2.5</v>
      </c>
      <c r="E7">
        <v>3.5</v>
      </c>
      <c r="F7">
        <v>0</v>
      </c>
      <c r="G7">
        <v>4</v>
      </c>
      <c r="H7">
        <v>3</v>
      </c>
      <c r="I7">
        <v>4.5</v>
      </c>
      <c r="J7">
        <v>5</v>
      </c>
      <c r="K7">
        <v>6.8</v>
      </c>
      <c r="M7" s="3" t="s">
        <v>22</v>
      </c>
    </row>
    <row r="8" spans="1:13" x14ac:dyDescent="0.3">
      <c r="A8" s="1" t="s">
        <v>7</v>
      </c>
      <c r="B8">
        <v>4</v>
      </c>
      <c r="C8">
        <v>5.5</v>
      </c>
      <c r="D8">
        <v>3</v>
      </c>
      <c r="E8">
        <v>2.8</v>
      </c>
      <c r="F8">
        <v>4</v>
      </c>
      <c r="G8">
        <v>0</v>
      </c>
      <c r="H8">
        <v>2.5</v>
      </c>
      <c r="I8">
        <v>2</v>
      </c>
      <c r="J8">
        <v>2.8</v>
      </c>
      <c r="K8">
        <v>5</v>
      </c>
      <c r="M8" s="3" t="s">
        <v>23</v>
      </c>
    </row>
    <row r="9" spans="1:13" x14ac:dyDescent="0.3">
      <c r="A9" s="1" t="s">
        <v>8</v>
      </c>
      <c r="B9">
        <v>2</v>
      </c>
      <c r="C9">
        <v>4.5</v>
      </c>
      <c r="D9">
        <v>1</v>
      </c>
      <c r="E9">
        <v>2.2000000000000002</v>
      </c>
      <c r="F9">
        <v>3</v>
      </c>
      <c r="G9">
        <v>2.5</v>
      </c>
      <c r="H9">
        <v>0</v>
      </c>
      <c r="I9">
        <v>2.8</v>
      </c>
      <c r="J9">
        <v>3.5</v>
      </c>
      <c r="K9">
        <v>5.2</v>
      </c>
      <c r="M9" s="3" t="s">
        <v>24</v>
      </c>
    </row>
    <row r="10" spans="1:13" x14ac:dyDescent="0.3">
      <c r="A10" s="1" t="s">
        <v>9</v>
      </c>
      <c r="B10">
        <v>3.5</v>
      </c>
      <c r="C10">
        <v>6</v>
      </c>
      <c r="D10">
        <v>3.2</v>
      </c>
      <c r="E10">
        <v>2.5</v>
      </c>
      <c r="F10">
        <v>4.5</v>
      </c>
      <c r="G10">
        <v>2</v>
      </c>
      <c r="H10">
        <v>2.8</v>
      </c>
      <c r="I10">
        <v>0</v>
      </c>
      <c r="J10">
        <v>1.5</v>
      </c>
      <c r="K10">
        <v>4.8</v>
      </c>
      <c r="M10" s="3" t="s">
        <v>25</v>
      </c>
    </row>
    <row r="11" spans="1:13" x14ac:dyDescent="0.3">
      <c r="A11" s="1" t="s">
        <v>10</v>
      </c>
      <c r="B11">
        <v>4.0999999999999996</v>
      </c>
      <c r="C11">
        <v>6.5</v>
      </c>
      <c r="D11">
        <v>4</v>
      </c>
      <c r="E11">
        <v>3.8</v>
      </c>
      <c r="F11">
        <v>5</v>
      </c>
      <c r="G11">
        <v>2.8</v>
      </c>
      <c r="H11">
        <v>3.5</v>
      </c>
      <c r="I11">
        <v>1.5</v>
      </c>
      <c r="J11">
        <v>0</v>
      </c>
      <c r="K11">
        <v>4.5</v>
      </c>
      <c r="M11" s="3" t="s">
        <v>26</v>
      </c>
    </row>
    <row r="12" spans="1:13" x14ac:dyDescent="0.3">
      <c r="A12" s="1" t="s">
        <v>11</v>
      </c>
      <c r="B12">
        <v>6</v>
      </c>
      <c r="C12">
        <v>7.2</v>
      </c>
      <c r="D12">
        <v>5.5</v>
      </c>
      <c r="E12">
        <v>6.2</v>
      </c>
      <c r="F12">
        <v>6.8</v>
      </c>
      <c r="G12">
        <v>5</v>
      </c>
      <c r="H12">
        <v>5.2</v>
      </c>
      <c r="I12">
        <v>4.8</v>
      </c>
      <c r="J12">
        <v>4.5</v>
      </c>
      <c r="K12">
        <v>0</v>
      </c>
    </row>
    <row r="15" spans="1:13" x14ac:dyDescent="0.3">
      <c r="A15" s="1" t="s">
        <v>28</v>
      </c>
    </row>
    <row r="16" spans="1:13" ht="28.8" x14ac:dyDescent="0.3">
      <c r="A16" s="1" t="s">
        <v>12</v>
      </c>
      <c r="B16" s="1" t="s">
        <v>13</v>
      </c>
      <c r="C16" s="1" t="s">
        <v>14</v>
      </c>
      <c r="D16" s="8" t="s">
        <v>15</v>
      </c>
      <c r="E16" s="9" t="s">
        <v>16</v>
      </c>
      <c r="G16" s="1" t="s">
        <v>29</v>
      </c>
      <c r="H16" s="4"/>
    </row>
    <row r="17" spans="1:13" x14ac:dyDescent="0.3">
      <c r="A17">
        <v>1</v>
      </c>
      <c r="B17" t="s">
        <v>2</v>
      </c>
      <c r="C17" t="s">
        <v>4</v>
      </c>
      <c r="D17">
        <f>INDEX($B$3:$K$12,MATCH(B17,$A$3:$A$12,0),MATCH(C17,$B$2:$K$2,0))</f>
        <v>2.5</v>
      </c>
      <c r="E17">
        <f>D17</f>
        <v>2.5</v>
      </c>
      <c r="G17">
        <f>SUM(E18,E25,E31,E42)</f>
        <v>37.9</v>
      </c>
      <c r="H17" s="5"/>
    </row>
    <row r="18" spans="1:13" x14ac:dyDescent="0.3">
      <c r="A18">
        <v>2</v>
      </c>
      <c r="B18" t="s">
        <v>4</v>
      </c>
      <c r="C18" t="s">
        <v>2</v>
      </c>
      <c r="D18">
        <f>INDEX($B$3:$K$12,MATCH(B18,$A$3:$A$12,0),MATCH(C18,$B$2:$K$2,0))</f>
        <v>2.5</v>
      </c>
      <c r="E18">
        <f>E17+D18</f>
        <v>5</v>
      </c>
      <c r="H18" s="6"/>
    </row>
    <row r="19" spans="1:13" x14ac:dyDescent="0.3">
      <c r="H19" s="5"/>
    </row>
    <row r="20" spans="1:13" x14ac:dyDescent="0.3">
      <c r="M20" s="7"/>
    </row>
    <row r="21" spans="1:13" ht="18" x14ac:dyDescent="0.3">
      <c r="H21" s="4"/>
    </row>
    <row r="22" spans="1:13" x14ac:dyDescent="0.3">
      <c r="A22" s="1" t="s">
        <v>12</v>
      </c>
      <c r="B22" s="1" t="s">
        <v>13</v>
      </c>
      <c r="C22" s="1" t="s">
        <v>14</v>
      </c>
      <c r="D22" s="1" t="s">
        <v>15</v>
      </c>
      <c r="E22" s="1" t="s">
        <v>16</v>
      </c>
      <c r="H22" s="6"/>
    </row>
    <row r="23" spans="1:13" x14ac:dyDescent="0.3">
      <c r="A23">
        <v>1</v>
      </c>
      <c r="B23" t="s">
        <v>2</v>
      </c>
      <c r="C23" t="s">
        <v>6</v>
      </c>
      <c r="D23">
        <f>INDEX($B$3:$K$12,MATCH(B23,$A$3:$A$12,0),MATCH(C23,$B$2:$K$2,0))</f>
        <v>2.8</v>
      </c>
      <c r="E23">
        <f>D23</f>
        <v>2.8</v>
      </c>
      <c r="H23" s="5"/>
    </row>
    <row r="24" spans="1:13" x14ac:dyDescent="0.3">
      <c r="A24">
        <v>2</v>
      </c>
      <c r="B24" t="s">
        <v>6</v>
      </c>
      <c r="C24" t="s">
        <v>3</v>
      </c>
      <c r="D24">
        <f>INDEX($B$3:$K$12,MATCH(B24,$A$3:$A$12,0),MATCH(C24,$B$2:$K$2,0))</f>
        <v>2</v>
      </c>
      <c r="E24">
        <f>E23+D24</f>
        <v>4.8</v>
      </c>
    </row>
    <row r="25" spans="1:13" ht="18" x14ac:dyDescent="0.3">
      <c r="A25">
        <v>3</v>
      </c>
      <c r="B25" t="s">
        <v>3</v>
      </c>
      <c r="C25" t="s">
        <v>2</v>
      </c>
      <c r="D25">
        <f>INDEX($B$3:$K$12,MATCH(B25,$A$3:$A$12,0),MATCH(C25,$B$2:$K$2,0))</f>
        <v>4.2</v>
      </c>
      <c r="E25">
        <f>E24+D25</f>
        <v>9</v>
      </c>
      <c r="H25" s="4"/>
    </row>
    <row r="26" spans="1:13" x14ac:dyDescent="0.3">
      <c r="H26" s="5"/>
    </row>
    <row r="27" spans="1:13" x14ac:dyDescent="0.3">
      <c r="H27" s="6"/>
    </row>
    <row r="28" spans="1:13" x14ac:dyDescent="0.3">
      <c r="H28" s="5"/>
    </row>
    <row r="29" spans="1:13" x14ac:dyDescent="0.3">
      <c r="A29" s="1" t="s">
        <v>12</v>
      </c>
      <c r="B29" s="1" t="s">
        <v>13</v>
      </c>
      <c r="C29" s="1" t="s">
        <v>14</v>
      </c>
      <c r="D29" s="1" t="s">
        <v>15</v>
      </c>
      <c r="E29" s="1" t="s">
        <v>16</v>
      </c>
    </row>
    <row r="30" spans="1:13" x14ac:dyDescent="0.3">
      <c r="A30">
        <v>1</v>
      </c>
      <c r="B30" t="s">
        <v>2</v>
      </c>
      <c r="C30" t="s">
        <v>8</v>
      </c>
      <c r="D30">
        <f>INDEX($B$3:$K$12,MATCH(B30,$A$3:$A$12,0),MATCH(C30,$B$2:$K$2,0))</f>
        <v>2</v>
      </c>
      <c r="E30">
        <f>D30</f>
        <v>2</v>
      </c>
    </row>
    <row r="31" spans="1:13" x14ac:dyDescent="0.3">
      <c r="A31">
        <v>2</v>
      </c>
      <c r="B31" t="s">
        <v>8</v>
      </c>
      <c r="C31" t="s">
        <v>2</v>
      </c>
      <c r="D31">
        <f>INDEX($B$3:$K$12,MATCH(B31,$A$3:$A$12,0),MATCH(C31,$B$2:$K$2,0))</f>
        <v>2</v>
      </c>
      <c r="E31">
        <f>E30+D31</f>
        <v>4</v>
      </c>
      <c r="H31" s="5"/>
    </row>
    <row r="32" spans="1:13" x14ac:dyDescent="0.3">
      <c r="H32" s="5"/>
    </row>
    <row r="34" spans="1:5" x14ac:dyDescent="0.3">
      <c r="A34" s="1"/>
    </row>
    <row r="35" spans="1:5" x14ac:dyDescent="0.3">
      <c r="A35" s="1"/>
      <c r="B35" s="1"/>
      <c r="C35" s="1"/>
      <c r="D35" s="1"/>
      <c r="E35" s="1"/>
    </row>
    <row r="36" spans="1:5" x14ac:dyDescent="0.3">
      <c r="A36" s="1" t="s">
        <v>12</v>
      </c>
      <c r="B36" s="1" t="s">
        <v>13</v>
      </c>
      <c r="C36" s="1" t="s">
        <v>14</v>
      </c>
      <c r="D36" s="1" t="s">
        <v>15</v>
      </c>
      <c r="E36" s="1" t="s">
        <v>16</v>
      </c>
    </row>
    <row r="37" spans="1:5" x14ac:dyDescent="0.3">
      <c r="A37">
        <v>1</v>
      </c>
      <c r="B37" t="s">
        <v>2</v>
      </c>
      <c r="C37" t="s">
        <v>5</v>
      </c>
      <c r="D37">
        <f>INDEX($B$3:$K$12,MATCH(B37,$A$3:$A$12,0),MATCH(C37,$B$2:$K$2,0))</f>
        <v>3.1</v>
      </c>
      <c r="E37">
        <f>D37</f>
        <v>3.1</v>
      </c>
    </row>
    <row r="38" spans="1:5" x14ac:dyDescent="0.3">
      <c r="A38">
        <v>2</v>
      </c>
      <c r="B38" t="s">
        <v>5</v>
      </c>
      <c r="C38" t="s">
        <v>7</v>
      </c>
      <c r="D38">
        <f>INDEX($B$3:$K$12,MATCH(B38,$A$3:$A$12,0),MATCH(C38,$B$2:$K$2,0))</f>
        <v>2.8</v>
      </c>
      <c r="E38">
        <f>E37+D38</f>
        <v>5.9</v>
      </c>
    </row>
    <row r="39" spans="1:5" x14ac:dyDescent="0.3">
      <c r="A39">
        <v>3</v>
      </c>
      <c r="B39" t="s">
        <v>7</v>
      </c>
      <c r="C39" t="s">
        <v>9</v>
      </c>
      <c r="D39">
        <f>INDEX($B$3:$K$12,MATCH(B39,$A$3:$A$12,0),MATCH(C39,$B$2:$K$2,0))</f>
        <v>2</v>
      </c>
      <c r="E39">
        <f>E38+D39</f>
        <v>7.9</v>
      </c>
    </row>
    <row r="40" spans="1:5" x14ac:dyDescent="0.3">
      <c r="A40">
        <v>4</v>
      </c>
      <c r="B40" t="s">
        <v>9</v>
      </c>
      <c r="C40" t="s">
        <v>10</v>
      </c>
      <c r="D40">
        <f t="shared" ref="D40:D42" si="0">INDEX($B$3:$K$12,MATCH(B40,$A$3:$A$12,0),MATCH(C40,$B$2:$K$2,0))</f>
        <v>1.5</v>
      </c>
      <c r="E40">
        <f t="shared" ref="E40:E42" si="1">E39+D40</f>
        <v>9.4</v>
      </c>
    </row>
    <row r="41" spans="1:5" x14ac:dyDescent="0.3">
      <c r="A41">
        <v>5</v>
      </c>
      <c r="B41" t="s">
        <v>10</v>
      </c>
      <c r="C41" t="s">
        <v>11</v>
      </c>
      <c r="D41">
        <f t="shared" si="0"/>
        <v>4.5</v>
      </c>
      <c r="E41">
        <f t="shared" si="1"/>
        <v>13.9</v>
      </c>
    </row>
    <row r="42" spans="1:5" x14ac:dyDescent="0.3">
      <c r="A42">
        <v>6</v>
      </c>
      <c r="B42" t="s">
        <v>11</v>
      </c>
      <c r="C42" t="s">
        <v>2</v>
      </c>
      <c r="D42">
        <f t="shared" si="0"/>
        <v>6</v>
      </c>
      <c r="E42">
        <f t="shared" si="1"/>
        <v>19.899999999999999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Routing(4Vans)</vt:lpstr>
      <vt:lpstr>B&amp;B optimal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 PC</cp:lastModifiedBy>
  <dcterms:created xsi:type="dcterms:W3CDTF">2025-11-20T16:27:52Z</dcterms:created>
  <dcterms:modified xsi:type="dcterms:W3CDTF">2025-11-30T14:16:57Z</dcterms:modified>
</cp:coreProperties>
</file>